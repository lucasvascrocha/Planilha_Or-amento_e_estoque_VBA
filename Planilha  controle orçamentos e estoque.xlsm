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EstaPasta_de_trabalho"/>
  <bookViews>
    <workbookView xWindow="0" yWindow="0" windowWidth="15480" windowHeight="7650" tabRatio="722" activeTab="5"/>
  </bookViews>
  <sheets>
    <sheet name="Produtos" sheetId="1" r:id="rId1"/>
    <sheet name="Fornecedor" sheetId="2" r:id="rId2"/>
    <sheet name="Clientes" sheetId="7" r:id="rId3"/>
    <sheet name="Orçamentos Salvos" sheetId="4" r:id="rId4"/>
    <sheet name="LISTAS" sheetId="5" r:id="rId5"/>
    <sheet name="Orçamento Matriz" sheetId="3" r:id="rId6"/>
  </sheets>
  <definedNames>
    <definedName name="_xlnm._FilterDatabase" localSheetId="0" hidden="1">Produtos!$B$2:$C$7</definedName>
    <definedName name="_Orçamento">LISTAS!$M$2:$N$3</definedName>
    <definedName name="_Produtos">LISTAS!$E$2:$F$6</definedName>
    <definedName name="_xlnm.Extract" localSheetId="4">LISTAS!$E$2:$F$2</definedName>
    <definedName name="Marcas">OFFSET(LISTAS!$C$2,0,0,COUNTA(LISTAS!$C:$C)-1,1)</definedName>
    <definedName name="UnidadesVenda">OFFSET(LISTAS!$A$2,0,0,COUNTA(LISTAS!$A:$A)-1,1)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7" i="3" l="1"/>
</calcChain>
</file>

<file path=xl/sharedStrings.xml><?xml version="1.0" encoding="utf-8"?>
<sst xmlns="http://schemas.openxmlformats.org/spreadsheetml/2006/main" count="392" uniqueCount="83">
  <si>
    <t>Unidades de Venda</t>
  </si>
  <si>
    <t xml:space="preserve">Marcas de Produtos </t>
  </si>
  <si>
    <t xml:space="preserve">Produtos </t>
  </si>
  <si>
    <t>Código Fornecedor</t>
  </si>
  <si>
    <t>Dias de validade da proposta</t>
  </si>
  <si>
    <t>Quilos</t>
  </si>
  <si>
    <t>Litro</t>
  </si>
  <si>
    <t>Pacote</t>
  </si>
  <si>
    <t>Unidade</t>
  </si>
  <si>
    <t>Garrafa</t>
  </si>
  <si>
    <t xml:space="preserve">Gramas </t>
  </si>
  <si>
    <t>Lata</t>
  </si>
  <si>
    <t>Código</t>
  </si>
  <si>
    <t>Código Interno</t>
  </si>
  <si>
    <t>Descrição</t>
  </si>
  <si>
    <t>Código do Fornecedor</t>
  </si>
  <si>
    <t>Marca</t>
  </si>
  <si>
    <t>Unidade de Venda</t>
  </si>
  <si>
    <t>Valor Unitário</t>
  </si>
  <si>
    <t>CNPJ/CPF</t>
  </si>
  <si>
    <t>Nome do fornecedor</t>
  </si>
  <si>
    <t>Telefone</t>
  </si>
  <si>
    <t>Contato</t>
  </si>
  <si>
    <t>Data da última compra</t>
  </si>
  <si>
    <t>Alterado por</t>
  </si>
  <si>
    <t>&lt;insira aqui o logotipo da sua empresa&gt;</t>
  </si>
  <si>
    <t>&lt;Insira aqui o nome da empresa&gt;</t>
  </si>
  <si>
    <t>&lt;insira aqui o endereço&gt;</t>
  </si>
  <si>
    <t>Nr.Orçamento</t>
  </si>
  <si>
    <t>Validade</t>
  </si>
  <si>
    <t>Emissão</t>
  </si>
  <si>
    <t>Cód.Prod</t>
  </si>
  <si>
    <t>Qtd</t>
  </si>
  <si>
    <t>Vl.Unit.</t>
  </si>
  <si>
    <t>Vl.Total</t>
  </si>
  <si>
    <t>Total de itens</t>
  </si>
  <si>
    <t>Valor total do Orçamento</t>
  </si>
  <si>
    <t xml:space="preserve">Número do Orçamento </t>
  </si>
  <si>
    <t>Código do Produto</t>
  </si>
  <si>
    <t>Quantidade</t>
  </si>
  <si>
    <t>Vl. Unitário</t>
  </si>
  <si>
    <t>Vl. Total</t>
  </si>
  <si>
    <t>Dados da Empresa</t>
  </si>
  <si>
    <t>orçamentos</t>
  </si>
  <si>
    <t>Nome</t>
  </si>
  <si>
    <t>Endereço</t>
  </si>
  <si>
    <t>Bairro</t>
  </si>
  <si>
    <t>Cidade</t>
  </si>
  <si>
    <t>Estado</t>
  </si>
  <si>
    <t>CEP</t>
  </si>
  <si>
    <t>00000-000</t>
  </si>
  <si>
    <t>111.222.333-44</t>
  </si>
  <si>
    <t>Lucas Vasconcelos</t>
  </si>
  <si>
    <t>lucas.vasconcelos3@gmail.com</t>
  </si>
  <si>
    <t>Jacarepaguá</t>
  </si>
  <si>
    <t>Rio de Janeiro</t>
  </si>
  <si>
    <t>RJ</t>
  </si>
  <si>
    <t>Creme de leite</t>
  </si>
  <si>
    <t>Macarrão</t>
  </si>
  <si>
    <t>Nestẽ</t>
  </si>
  <si>
    <t>Nissan</t>
  </si>
  <si>
    <t>Dove</t>
  </si>
  <si>
    <t>Ypê</t>
  </si>
  <si>
    <t>Leite condensado caixa</t>
  </si>
  <si>
    <t>teste produto</t>
  </si>
  <si>
    <t>123asfd1</t>
  </si>
  <si>
    <t>sdf</t>
  </si>
  <si>
    <t>Nome do Cliente</t>
  </si>
  <si>
    <t>Aterado por</t>
  </si>
  <si>
    <t>Lucas</t>
  </si>
  <si>
    <t>12496940853</t>
  </si>
  <si>
    <t>LUCAS</t>
  </si>
  <si>
    <t>Lucas VasconcelosRocha</t>
  </si>
  <si>
    <t>+55 (24) 9 9864-2500</t>
  </si>
  <si>
    <t>25/05/2020 - 16:20:34(Última alteração)</t>
  </si>
  <si>
    <t>Data da última alteração</t>
  </si>
  <si>
    <t>11122233345</t>
  </si>
  <si>
    <t>Teste cliente</t>
  </si>
  <si>
    <t>25/05/2020 - 16:55:55 - Cadastro Novo</t>
  </si>
  <si>
    <t>R$ 0,00</t>
  </si>
  <si>
    <t>22222</t>
  </si>
  <si>
    <t>999999</t>
  </si>
  <si>
    <t>11111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</si>
</sst>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&quot;R$&quot;\ #,##0.00;\-&quot;R$&quot;\ #,##0.00"/>
    <numFmt numFmtId="165" formatCode="&quot;R$&quot;\ #,##0.00;[Red]\-&quot;R$&quot;\ #,##0.00"/>
    <numFmt numFmtId="166" formatCode="&quot;R$&quot;\ #,##0.0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B8CCE4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6" tint="-0.499984740745262"/>
      </right>
      <top style="thin">
        <color theme="0"/>
      </top>
      <bottom/>
      <diagonal/>
    </border>
    <border>
      <left/>
      <right style="thin">
        <color theme="6" tint="-0.499984740745262"/>
      </right>
      <top/>
      <bottom/>
      <diagonal/>
    </border>
    <border>
      <left/>
      <right/>
      <top/>
      <bottom style="thin">
        <color theme="6" tint="-0.499984740745262"/>
      </bottom>
      <diagonal/>
    </border>
    <border>
      <left/>
      <right style="thin">
        <color theme="6" tint="-0.499984740745262"/>
      </right>
      <top/>
      <bottom style="thin">
        <color theme="6" tint="-0.499984740745262"/>
      </bottom>
      <diagonal/>
    </border>
    <border>
      <left/>
      <right style="medium">
        <color theme="6" tint="-0.499984740745262"/>
      </right>
      <top/>
      <bottom style="medium">
        <color theme="6" tint="-0.499984740745262"/>
      </bottom>
      <diagonal/>
    </border>
    <border>
      <left style="medium">
        <color theme="6" tint="-0.499984740745262"/>
      </left>
      <right/>
      <top/>
      <bottom style="medium">
        <color theme="6" tint="-0.499984740745262"/>
      </bottom>
      <diagonal/>
    </border>
    <border>
      <left style="medium">
        <color theme="6" tint="-0.499984740745262"/>
      </left>
      <right style="medium">
        <color theme="6" tint="-0.499984740745262"/>
      </right>
      <top/>
      <bottom style="medium">
        <color theme="6" tint="-0.49998474074526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63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0" fillId="4" borderId="1" xfId="0" applyFill="1" applyBorder="1"/>
    <xf numFmtId="166" fontId="0" fillId="4" borderId="1" xfId="0" applyNumberFormat="1" applyFill="1" applyBorder="1"/>
    <xf numFmtId="166" fontId="0" fillId="0" borderId="0" xfId="0" applyNumberFormat="1"/>
    <xf numFmtId="0" fontId="0" fillId="5" borderId="1" xfId="0" applyFill="1" applyBorder="1"/>
    <xf numFmtId="0" fontId="0" fillId="6" borderId="0" xfId="0" applyFill="1"/>
    <xf numFmtId="0" fontId="0" fillId="6" borderId="2" xfId="0" applyFill="1" applyBorder="1"/>
    <xf numFmtId="0" fontId="0" fillId="6" borderId="3" xfId="0" applyFill="1" applyBorder="1"/>
    <xf numFmtId="0" fontId="0" fillId="0" borderId="4" xfId="0" applyBorder="1"/>
    <xf numFmtId="0" fontId="0" fillId="0" borderId="3" xfId="0" applyBorder="1"/>
    <xf numFmtId="0" fontId="0" fillId="6" borderId="4" xfId="0" applyFill="1" applyBorder="1"/>
    <xf numFmtId="0" fontId="0" fillId="0" borderId="2" xfId="0" applyBorder="1"/>
    <xf numFmtId="0" fontId="0" fillId="0" borderId="0" xfId="0" applyAlignment="1">
      <alignment horizontal="right"/>
    </xf>
    <xf numFmtId="0" fontId="0" fillId="3" borderId="1" xfId="0" applyFill="1" applyBorder="1" applyAlignment="1">
      <alignment horizontal="center"/>
    </xf>
    <xf numFmtId="0" fontId="1" fillId="3" borderId="10" xfId="0" applyFont="1" applyFill="1" applyBorder="1" applyAlignment="1">
      <alignment horizontal="center"/>
    </xf>
    <xf numFmtId="0" fontId="1" fillId="3" borderId="11" xfId="0" applyFont="1" applyFill="1" applyBorder="1" applyAlignment="1"/>
    <xf numFmtId="0" fontId="1" fillId="3" borderId="12" xfId="0" applyFont="1" applyFill="1" applyBorder="1" applyAlignment="1">
      <alignment horizontal="center"/>
    </xf>
    <xf numFmtId="0" fontId="0" fillId="0" borderId="0" xfId="0" quotePrefix="1"/>
    <xf numFmtId="165" fontId="0" fillId="0" borderId="0" xfId="0" applyNumberFormat="1" applyAlignment="1">
      <alignment horizontal="center"/>
    </xf>
    <xf numFmtId="165" fontId="0" fillId="0" borderId="0" xfId="0" applyNumberFormat="1"/>
    <xf numFmtId="164" fontId="0" fillId="0" borderId="0" xfId="0" applyNumberFormat="1"/>
    <xf numFmtId="164" fontId="0" fillId="6" borderId="2" xfId="0" applyNumberFormat="1" applyFill="1" applyBorder="1"/>
    <xf numFmtId="164" fontId="0" fillId="0" borderId="0" xfId="0" applyNumberFormat="1" applyAlignment="1">
      <alignment horizontal="center"/>
    </xf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5" fillId="8" borderId="1" xfId="0" applyFont="1" applyFill="1" applyBorder="1"/>
    <xf numFmtId="0" fontId="0" fillId="9" borderId="0" xfId="0" applyFill="1" applyAlignment="1">
      <alignment horizontal="center"/>
    </xf>
    <xf numFmtId="0" fontId="6" fillId="9" borderId="0" xfId="1" applyFill="1" applyAlignment="1">
      <alignment horizontal="center"/>
    </xf>
    <xf numFmtId="0" fontId="0" fillId="9" borderId="0" xfId="0" quotePrefix="1" applyFill="1" applyAlignment="1">
      <alignment horizontal="center"/>
    </xf>
    <xf numFmtId="0" fontId="0" fillId="0" borderId="1" xfId="0" applyBorder="1"/>
    <xf numFmtId="166" fontId="0" fillId="0" borderId="1" xfId="0" applyNumberFormat="1" applyBorder="1"/>
    <xf numFmtId="0" fontId="0" fillId="10" borderId="0" xfId="0" applyFill="1" applyAlignment="1">
      <alignment horizontal="center"/>
    </xf>
    <xf numFmtId="0" fontId="0" fillId="11" borderId="16" xfId="0" applyFill="1" applyBorder="1"/>
    <xf numFmtId="0" fontId="0" fillId="2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1" xfId="0" quotePrefix="1" applyBorder="1"/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7" borderId="0" xfId="0" applyFill="1" applyBorder="1" applyAlignment="1"/>
    <xf numFmtId="0" fontId="0" fillId="7" borderId="7" xfId="0" applyFill="1" applyBorder="1" applyAlignment="1"/>
    <xf numFmtId="0" fontId="0" fillId="7" borderId="8" xfId="0" applyFill="1" applyBorder="1" applyAlignment="1"/>
    <xf numFmtId="0" fontId="0" fillId="7" borderId="9" xfId="0" applyFill="1" applyBorder="1" applyAlignme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4" fontId="4" fillId="7" borderId="0" xfId="0" applyNumberFormat="1" applyFont="1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7" borderId="0" xfId="0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4" fontId="4" fillId="7" borderId="0" xfId="0" applyNumberFormat="1" applyFont="1" applyFill="1" applyBorder="1" applyAlignment="1">
      <alignment horizontal="center"/>
    </xf>
    <xf numFmtId="0" fontId="0" fillId="7" borderId="5" xfId="0" applyFill="1" applyBorder="1" applyAlignment="1">
      <alignment horizontal="center"/>
    </xf>
    <xf numFmtId="0" fontId="0" fillId="7" borderId="6" xfId="0" applyFill="1" applyBorder="1" applyAlignment="1">
      <alignment horizontal="center"/>
    </xf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mailto:lucas.vasconcelos3@gmail.com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G22"/>
  <sheetViews>
    <sheetView workbookViewId="0"/>
  </sheetViews>
  <sheetFormatPr defaultRowHeight="15" x14ac:dyDescent="0.25"/>
  <cols>
    <col min="1" max="1" width="14.25" bestFit="1" customWidth="1"/>
    <col min="2" max="2" width="18.375" bestFit="1" customWidth="1"/>
    <col min="3" max="3" width="20.75" bestFit="1" customWidth="1"/>
    <col min="4" max="4" width="7.75" bestFit="1" customWidth="1"/>
    <col min="5" max="5" width="17.625" bestFit="1" customWidth="1"/>
    <col min="6" max="6" width="13.375" style="5" bestFit="1" customWidth="1"/>
  </cols>
  <sheetData>
    <row r="1" spans="1:7" x14ac:dyDescent="0.25">
      <c r="A1" s="3">
        <v>3</v>
      </c>
      <c r="B1" s="3" t="s">
        <v>14</v>
      </c>
      <c r="C1" s="3" t="s">
        <v>15</v>
      </c>
      <c r="D1" s="3" t="s">
        <v>16</v>
      </c>
      <c r="E1" s="3" t="s">
        <v>17</v>
      </c>
      <c r="F1" s="4" t="s">
        <v>18</v>
      </c>
    </row>
    <row r="2" spans="1:7" x14ac:dyDescent="0.25">
      <c r="A2" s="32">
        <v>1</v>
      </c>
      <c r="B2" s="32" t="s">
        <v>63</v>
      </c>
      <c r="C2" s="32">
        <v>999999</v>
      </c>
      <c r="D2" s="32" t="s">
        <v>59</v>
      </c>
      <c r="E2" s="32" t="s">
        <v>10</v>
      </c>
      <c r="F2" s="33">
        <v>120</v>
      </c>
    </row>
    <row r="3" spans="1:7" x14ac:dyDescent="0.25">
      <c r="A3" s="32">
        <v>2</v>
      </c>
      <c r="B3" s="32" t="s">
        <v>57</v>
      </c>
      <c r="C3" s="32">
        <v>11111</v>
      </c>
      <c r="D3" s="32" t="s">
        <v>59</v>
      </c>
      <c r="E3" s="32" t="s">
        <v>11</v>
      </c>
      <c r="F3" s="33">
        <v>4</v>
      </c>
    </row>
    <row r="4" spans="1:7" x14ac:dyDescent="0.25">
      <c r="A4" s="32">
        <v>3</v>
      </c>
      <c r="B4" s="32" t="s">
        <v>58</v>
      </c>
      <c r="C4" s="32">
        <v>22222</v>
      </c>
      <c r="D4" s="32" t="s">
        <v>60</v>
      </c>
      <c r="E4" s="32" t="s">
        <v>6</v>
      </c>
      <c r="F4" s="33">
        <v>2</v>
      </c>
    </row>
    <row r="5" spans="1:7" x14ac:dyDescent="0.25">
      <c r="A5" s="32">
        <v>4</v>
      </c>
      <c r="B5" s="32" t="s">
        <v>64</v>
      </c>
      <c r="C5" s="32" t="s">
        <v>65</v>
      </c>
      <c r="D5" s="32" t="s">
        <v>62</v>
      </c>
      <c r="E5" s="32" t="s">
        <v>7</v>
      </c>
      <c r="F5" s="33">
        <v>3</v>
      </c>
      <c r="G5" s="34"/>
    </row>
    <row r="6" spans="1:7" x14ac:dyDescent="0.25">
      <c r="A6" s="32">
        <v>5</v>
      </c>
      <c r="B6" s="32" t="s">
        <v>66</v>
      </c>
      <c r="C6" s="32" t="s">
        <v>66</v>
      </c>
      <c r="D6" s="32" t="s">
        <v>60</v>
      </c>
      <c r="E6" s="32" t="s">
        <v>8</v>
      </c>
      <c r="F6" s="33">
        <v>5</v>
      </c>
      <c r="G6" s="34"/>
    </row>
    <row r="7" spans="1:7" x14ac:dyDescent="0.25">
      <c r="A7" s="32"/>
      <c r="B7" s="32"/>
      <c r="C7" s="32"/>
      <c r="D7" s="32"/>
      <c r="E7" s="32"/>
      <c r="F7" s="33"/>
    </row>
    <row r="8" spans="1:7" x14ac:dyDescent="0.25">
      <c r="A8" s="32"/>
      <c r="B8" s="32"/>
      <c r="C8" s="32"/>
      <c r="D8" s="32"/>
      <c r="E8" s="32"/>
      <c r="F8" s="33"/>
    </row>
    <row r="9" spans="1:7" x14ac:dyDescent="0.25">
      <c r="A9" s="32"/>
      <c r="B9" s="32"/>
      <c r="C9" s="32"/>
      <c r="D9" s="32"/>
      <c r="E9" s="32"/>
      <c r="F9" s="33"/>
    </row>
    <row r="10" spans="1:7" x14ac:dyDescent="0.25">
      <c r="A10" s="32"/>
      <c r="B10" s="32"/>
      <c r="C10" s="32"/>
      <c r="D10" s="32"/>
      <c r="E10" s="32"/>
      <c r="F10" s="33"/>
    </row>
    <row r="11" spans="1:7" x14ac:dyDescent="0.25">
      <c r="A11" s="32"/>
      <c r="B11" s="32"/>
      <c r="C11" s="32"/>
      <c r="D11" s="32"/>
      <c r="E11" s="32"/>
      <c r="F11" s="33"/>
    </row>
    <row r="12" spans="1:7" x14ac:dyDescent="0.25">
      <c r="A12" s="32"/>
      <c r="B12" s="32"/>
      <c r="C12" s="32"/>
      <c r="D12" s="32"/>
      <c r="E12" s="32"/>
      <c r="F12" s="33"/>
    </row>
    <row r="13" spans="1:7" x14ac:dyDescent="0.25">
      <c r="A13" s="32"/>
      <c r="B13" s="32"/>
      <c r="C13" s="32"/>
      <c r="D13" s="32"/>
      <c r="E13" s="32"/>
      <c r="F13" s="33"/>
    </row>
    <row r="14" spans="1:7" x14ac:dyDescent="0.25">
      <c r="A14" s="32"/>
      <c r="B14" s="32"/>
      <c r="C14" s="32"/>
      <c r="D14" s="32"/>
      <c r="E14" s="32"/>
      <c r="F14" s="33"/>
    </row>
    <row r="15" spans="1:7" x14ac:dyDescent="0.25">
      <c r="A15" s="32"/>
      <c r="B15" s="32"/>
      <c r="C15" s="32"/>
      <c r="D15" s="32"/>
      <c r="E15" s="32"/>
      <c r="F15" s="33"/>
    </row>
    <row r="16" spans="1:7" x14ac:dyDescent="0.25">
      <c r="A16" s="32"/>
      <c r="B16" s="32"/>
      <c r="C16" s="32"/>
      <c r="D16" s="32"/>
      <c r="E16" s="32"/>
      <c r="F16" s="33"/>
    </row>
    <row r="17" spans="1:6" x14ac:dyDescent="0.25">
      <c r="A17" s="32"/>
      <c r="B17" s="32"/>
      <c r="C17" s="32"/>
      <c r="D17" s="32"/>
      <c r="E17" s="32"/>
      <c r="F17" s="33"/>
    </row>
    <row r="18" spans="1:6" x14ac:dyDescent="0.25">
      <c r="A18" s="32"/>
      <c r="B18" s="32"/>
      <c r="C18" s="32"/>
      <c r="D18" s="32"/>
      <c r="E18" s="32"/>
      <c r="F18" s="33"/>
    </row>
    <row r="19" spans="1:6" x14ac:dyDescent="0.25">
      <c r="A19" s="32"/>
      <c r="B19" s="32"/>
      <c r="C19" s="32"/>
      <c r="D19" s="32"/>
      <c r="E19" s="32"/>
      <c r="F19" s="33"/>
    </row>
    <row r="20" spans="1:6" x14ac:dyDescent="0.25">
      <c r="A20" s="32"/>
      <c r="B20" s="32"/>
      <c r="C20" s="32"/>
      <c r="D20" s="32"/>
      <c r="E20" s="32"/>
      <c r="F20" s="33"/>
    </row>
    <row r="21" spans="1:6" x14ac:dyDescent="0.25">
      <c r="A21" s="32"/>
      <c r="B21" s="32"/>
      <c r="C21" s="32"/>
      <c r="D21" s="32"/>
      <c r="E21" s="32"/>
      <c r="F21" s="33"/>
    </row>
    <row r="22" spans="1:6" x14ac:dyDescent="0.25">
      <c r="A22" s="32"/>
      <c r="B22" s="32"/>
      <c r="C22" s="32"/>
      <c r="D22" s="32"/>
      <c r="E22" s="32"/>
      <c r="F22" s="33"/>
    </row>
  </sheetData>
  <sortState ref="E2:F6">
    <sortCondition ref="E2"/>
  </sortState>
  <dataValidations count="1">
    <dataValidation type="list" allowBlank="1" showInputMessage="1" showErrorMessage="1" sqref="E2:E4">
      <formula1>UnidadesVenda</formula1>
    </dataValidation>
  </dataValidation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F1"/>
  <sheetViews>
    <sheetView workbookViewId="0">
      <selection activeCell="B16" sqref="B16"/>
    </sheetView>
  </sheetViews>
  <sheetFormatPr defaultRowHeight="15" x14ac:dyDescent="0.25"/>
  <cols>
    <col min="1" max="1" width="9.625" bestFit="1" customWidth="1"/>
    <col min="2" max="2" width="19.75" bestFit="1" customWidth="1"/>
    <col min="3" max="3" width="9" bestFit="1" customWidth="1"/>
    <col min="4" max="4" width="8" bestFit="1" customWidth="1"/>
    <col min="5" max="5" width="21" bestFit="1" customWidth="1"/>
    <col min="6" max="6" width="12.125" bestFit="1" customWidth="1"/>
  </cols>
  <sheetData>
    <row r="1" spans="1:6" x14ac:dyDescent="0.25">
      <c r="A1" s="6" t="s">
        <v>19</v>
      </c>
      <c r="B1" s="6" t="s">
        <v>20</v>
      </c>
      <c r="C1" s="6" t="s">
        <v>21</v>
      </c>
      <c r="D1" s="6" t="s">
        <v>22</v>
      </c>
      <c r="E1" s="6" t="s">
        <v>23</v>
      </c>
      <c r="F1" s="6" t="s">
        <v>24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1:F46"/>
  <sheetViews>
    <sheetView workbookViewId="0">
      <selection activeCell="B4" sqref="B4"/>
    </sheetView>
  </sheetViews>
  <sheetFormatPr defaultRowHeight="15" x14ac:dyDescent="0.25"/>
  <cols>
    <col min="1" max="1" width="15.75" customWidth="1"/>
    <col min="2" max="2" width="22.875" customWidth="1"/>
    <col min="3" max="3" width="18" bestFit="1" customWidth="1"/>
    <col min="5" max="5" width="32.5" customWidth="1"/>
    <col min="6" max="6" width="10" bestFit="1" customWidth="1"/>
  </cols>
  <sheetData>
    <row r="1" spans="1:6" ht="15.75" thickBot="1" x14ac:dyDescent="0.3">
      <c r="A1" s="35" t="s">
        <v>19</v>
      </c>
      <c r="B1" s="35" t="s">
        <v>67</v>
      </c>
      <c r="C1" s="35" t="s">
        <v>21</v>
      </c>
      <c r="D1" s="35" t="s">
        <v>22</v>
      </c>
      <c r="E1" s="35" t="s">
        <v>75</v>
      </c>
      <c r="F1" s="35" t="s">
        <v>68</v>
      </c>
    </row>
    <row r="2" spans="1:6" x14ac:dyDescent="0.25">
      <c r="A2" s="19" t="s">
        <v>70</v>
      </c>
      <c r="B2" t="s">
        <v>72</v>
      </c>
      <c r="C2" t="s">
        <v>73</v>
      </c>
      <c r="D2" t="s">
        <v>69</v>
      </c>
      <c r="E2" t="s">
        <v>74</v>
      </c>
      <c r="F2" t="s">
        <v>71</v>
      </c>
    </row>
    <row r="3" spans="1:6" x14ac:dyDescent="0.25">
      <c r="A3" s="38" t="s">
        <v>76</v>
      </c>
      <c r="B3" s="32" t="s">
        <v>77</v>
      </c>
      <c r="C3" s="32">
        <v>22333445566</v>
      </c>
      <c r="D3" s="32" t="s">
        <v>69</v>
      </c>
      <c r="E3" s="32" t="s">
        <v>78</v>
      </c>
      <c r="F3" t="s">
        <v>71</v>
      </c>
    </row>
    <row r="46" spans="6:6" x14ac:dyDescent="0.25">
      <c r="F46" s="37" t="s">
        <v>79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I70"/>
  <sheetViews>
    <sheetView topLeftCell="A55" workbookViewId="0">
      <selection activeCell="B67" sqref="B67:H70"/>
    </sheetView>
  </sheetViews>
  <sheetFormatPr defaultRowHeight="15" x14ac:dyDescent="0.25"/>
  <cols>
    <col min="1" max="1" width="18.625" customWidth="1"/>
    <col min="2" max="2" width="14.25" bestFit="1" customWidth="1"/>
    <col min="3" max="3" width="17.75" bestFit="1" customWidth="1"/>
    <col min="4" max="4" width="9.375" bestFit="1" customWidth="1"/>
    <col min="5" max="5" width="8.375" bestFit="1" customWidth="1"/>
    <col min="6" max="6" width="11.375" bestFit="1" customWidth="1"/>
    <col min="7" max="7" width="11" bestFit="1" customWidth="1"/>
    <col min="8" max="8" width="8.75" bestFit="1" customWidth="1"/>
  </cols>
  <sheetData>
    <row r="1" spans="1:9" x14ac:dyDescent="0.25">
      <c r="A1" s="28" t="s">
        <v>37</v>
      </c>
      <c r="B1" s="28" t="s">
        <v>13</v>
      </c>
      <c r="C1" s="28" t="s">
        <v>38</v>
      </c>
      <c r="D1" s="28" t="s">
        <v>14</v>
      </c>
      <c r="E1" s="28" t="s">
        <v>8</v>
      </c>
      <c r="F1" s="28" t="s">
        <v>39</v>
      </c>
      <c r="G1" s="28" t="s">
        <v>40</v>
      </c>
      <c r="H1" s="28" t="s">
        <v>41</v>
      </c>
    </row>
    <row r="2" spans="1:9" x14ac:dyDescent="0.25">
      <c r="A2">
        <v>1</v>
      </c>
      <c r="B2">
        <v>1</v>
      </c>
      <c r="C2" s="19" t="s">
        <v>81</v>
      </c>
      <c r="D2" t="s">
        <v>63</v>
      </c>
      <c r="E2" s="41" t="s">
        <v>10</v>
      </c>
      <c r="F2" s="41">
        <v>2</v>
      </c>
      <c r="G2" s="20">
        <v>120</v>
      </c>
      <c r="H2" s="21">
        <v>240</v>
      </c>
      <c r="I2" t="s">
        <v>72</v>
      </c>
    </row>
    <row r="3" spans="1:9" x14ac:dyDescent="0.25">
      <c r="A3">
        <v>1</v>
      </c>
      <c r="B3">
        <v>1</v>
      </c>
      <c r="C3" s="19" t="s">
        <v>81</v>
      </c>
      <c r="D3" t="s">
        <v>63</v>
      </c>
      <c r="E3" s="41" t="s">
        <v>10</v>
      </c>
      <c r="F3" s="41">
        <v>2</v>
      </c>
      <c r="G3" s="20">
        <v>120</v>
      </c>
      <c r="H3" s="21">
        <v>240</v>
      </c>
      <c r="I3" t="s">
        <v>72</v>
      </c>
    </row>
    <row r="4" spans="1:9" x14ac:dyDescent="0.25">
      <c r="A4">
        <v>1</v>
      </c>
      <c r="B4">
        <v>1</v>
      </c>
      <c r="C4" s="19" t="s">
        <v>81</v>
      </c>
      <c r="D4" t="s">
        <v>63</v>
      </c>
      <c r="E4" s="41" t="s">
        <v>10</v>
      </c>
      <c r="F4" s="41">
        <v>3</v>
      </c>
      <c r="G4" s="20">
        <v>120</v>
      </c>
      <c r="H4" s="21">
        <v>360</v>
      </c>
      <c r="I4" t="s">
        <v>72</v>
      </c>
    </row>
    <row r="5" spans="1:9" x14ac:dyDescent="0.25">
      <c r="A5">
        <v>1</v>
      </c>
      <c r="B5">
        <v>1</v>
      </c>
      <c r="C5" s="19" t="s">
        <v>81</v>
      </c>
      <c r="D5" t="s">
        <v>63</v>
      </c>
      <c r="E5" s="41" t="s">
        <v>10</v>
      </c>
      <c r="F5" s="41">
        <v>4</v>
      </c>
      <c r="G5" s="20">
        <v>120</v>
      </c>
      <c r="H5" s="21">
        <v>480</v>
      </c>
      <c r="I5" t="s">
        <v>72</v>
      </c>
    </row>
    <row r="6" spans="1:9" x14ac:dyDescent="0.25">
      <c r="A6">
        <v>1</v>
      </c>
      <c r="B6">
        <v>3</v>
      </c>
      <c r="C6" s="19" t="s">
        <v>80</v>
      </c>
      <c r="D6" t="s">
        <v>58</v>
      </c>
      <c r="E6" s="41" t="s">
        <v>6</v>
      </c>
      <c r="F6" s="41"/>
      <c r="G6" s="20">
        <v>2</v>
      </c>
      <c r="H6" s="21"/>
      <c r="I6" t="s">
        <v>72</v>
      </c>
    </row>
    <row r="7" spans="1:9" x14ac:dyDescent="0.25">
      <c r="A7">
        <v>1</v>
      </c>
      <c r="B7">
        <v>1</v>
      </c>
      <c r="C7" s="19" t="s">
        <v>81</v>
      </c>
      <c r="D7" t="s">
        <v>63</v>
      </c>
      <c r="E7" s="41" t="s">
        <v>10</v>
      </c>
      <c r="F7" s="41">
        <v>1</v>
      </c>
      <c r="G7" s="20">
        <v>120</v>
      </c>
      <c r="H7" s="21">
        <v>120</v>
      </c>
      <c r="I7" t="s">
        <v>72</v>
      </c>
    </row>
    <row r="8" spans="1:9" x14ac:dyDescent="0.25">
      <c r="A8">
        <v>1</v>
      </c>
      <c r="B8">
        <v>3</v>
      </c>
      <c r="C8" s="19" t="s">
        <v>82</v>
      </c>
      <c r="D8" t="s">
        <v>57</v>
      </c>
      <c r="E8" s="41" t="s">
        <v>11</v>
      </c>
      <c r="F8" s="41">
        <v>2</v>
      </c>
      <c r="G8" s="20">
        <v>4</v>
      </c>
      <c r="H8" s="21">
        <v>8</v>
      </c>
      <c r="I8" t="s">
        <v>72</v>
      </c>
    </row>
    <row r="9" spans="1:9" x14ac:dyDescent="0.25">
      <c r="A9">
        <v>1</v>
      </c>
      <c r="B9">
        <v>2</v>
      </c>
      <c r="C9" s="19" t="s">
        <v>82</v>
      </c>
      <c r="D9" t="s">
        <v>57</v>
      </c>
      <c r="E9" s="41" t="s">
        <v>11</v>
      </c>
      <c r="F9" s="41">
        <v>1</v>
      </c>
      <c r="G9" s="20">
        <v>4</v>
      </c>
      <c r="H9" s="21">
        <v>4</v>
      </c>
      <c r="I9" t="s">
        <v>72</v>
      </c>
    </row>
    <row r="10" spans="1:9" x14ac:dyDescent="0.25">
      <c r="A10">
        <v>1</v>
      </c>
      <c r="B10">
        <v>2</v>
      </c>
      <c r="C10" s="19" t="s">
        <v>82</v>
      </c>
      <c r="D10" t="s">
        <v>57</v>
      </c>
      <c r="E10" s="41" t="s">
        <v>11</v>
      </c>
      <c r="F10" s="41">
        <v>1</v>
      </c>
      <c r="G10" s="24">
        <v>4</v>
      </c>
      <c r="H10" s="22">
        <v>4</v>
      </c>
      <c r="I10" t="s">
        <v>72</v>
      </c>
    </row>
    <row r="11" spans="1:9" x14ac:dyDescent="0.25">
      <c r="A11">
        <v>2</v>
      </c>
      <c r="B11">
        <v>1</v>
      </c>
      <c r="C11" s="19" t="s">
        <v>81</v>
      </c>
      <c r="D11" t="s">
        <v>63</v>
      </c>
      <c r="E11" s="41" t="s">
        <v>10</v>
      </c>
      <c r="F11" s="41">
        <v>2</v>
      </c>
      <c r="G11" s="20">
        <v>120</v>
      </c>
      <c r="H11" s="21">
        <v>240</v>
      </c>
      <c r="I11" t="s">
        <v>72</v>
      </c>
    </row>
    <row r="12" spans="1:9" x14ac:dyDescent="0.25">
      <c r="A12">
        <v>2</v>
      </c>
      <c r="B12">
        <v>1</v>
      </c>
      <c r="C12" s="19" t="s">
        <v>81</v>
      </c>
      <c r="D12" t="s">
        <v>63</v>
      </c>
      <c r="E12" s="41" t="s">
        <v>10</v>
      </c>
      <c r="F12" s="41">
        <v>2</v>
      </c>
      <c r="G12" s="20">
        <v>120</v>
      </c>
      <c r="H12" s="21">
        <v>240</v>
      </c>
      <c r="I12" t="s">
        <v>72</v>
      </c>
    </row>
    <row r="13" spans="1:9" x14ac:dyDescent="0.25">
      <c r="A13">
        <v>2</v>
      </c>
      <c r="B13">
        <v>1</v>
      </c>
      <c r="C13" s="19" t="s">
        <v>81</v>
      </c>
      <c r="D13" t="s">
        <v>63</v>
      </c>
      <c r="E13" s="41" t="s">
        <v>10</v>
      </c>
      <c r="F13" s="41">
        <v>3</v>
      </c>
      <c r="G13" s="20">
        <v>120</v>
      </c>
      <c r="H13" s="21">
        <v>360</v>
      </c>
      <c r="I13" t="s">
        <v>72</v>
      </c>
    </row>
    <row r="14" spans="1:9" x14ac:dyDescent="0.25">
      <c r="A14">
        <v>2</v>
      </c>
      <c r="B14">
        <v>1</v>
      </c>
      <c r="C14" s="19" t="s">
        <v>81</v>
      </c>
      <c r="D14" t="s">
        <v>63</v>
      </c>
      <c r="E14" s="41" t="s">
        <v>10</v>
      </c>
      <c r="F14" s="41">
        <v>4</v>
      </c>
      <c r="G14" s="20">
        <v>120</v>
      </c>
      <c r="H14" s="21">
        <v>480</v>
      </c>
      <c r="I14" t="s">
        <v>72</v>
      </c>
    </row>
    <row r="15" spans="1:9" x14ac:dyDescent="0.25">
      <c r="A15">
        <v>2</v>
      </c>
      <c r="B15">
        <v>3</v>
      </c>
      <c r="C15" s="19" t="s">
        <v>80</v>
      </c>
      <c r="D15" t="s">
        <v>58</v>
      </c>
      <c r="E15" s="41" t="s">
        <v>6</v>
      </c>
      <c r="F15" s="41"/>
      <c r="G15" s="20">
        <v>2</v>
      </c>
      <c r="H15" s="21"/>
      <c r="I15" t="s">
        <v>72</v>
      </c>
    </row>
    <row r="16" spans="1:9" x14ac:dyDescent="0.25">
      <c r="A16">
        <v>2</v>
      </c>
      <c r="B16">
        <v>1</v>
      </c>
      <c r="C16" s="19" t="s">
        <v>81</v>
      </c>
      <c r="D16" t="s">
        <v>63</v>
      </c>
      <c r="E16" s="41" t="s">
        <v>10</v>
      </c>
      <c r="F16" s="41">
        <v>1</v>
      </c>
      <c r="G16" s="20">
        <v>120</v>
      </c>
      <c r="H16" s="21">
        <v>120</v>
      </c>
      <c r="I16" t="s">
        <v>72</v>
      </c>
    </row>
    <row r="17" spans="1:9" x14ac:dyDescent="0.25">
      <c r="A17">
        <v>2</v>
      </c>
      <c r="B17">
        <v>3</v>
      </c>
      <c r="C17" s="19" t="s">
        <v>82</v>
      </c>
      <c r="D17" t="s">
        <v>57</v>
      </c>
      <c r="E17" s="41" t="s">
        <v>11</v>
      </c>
      <c r="F17" s="41">
        <v>2</v>
      </c>
      <c r="G17" s="20">
        <v>4</v>
      </c>
      <c r="H17" s="21">
        <v>8</v>
      </c>
      <c r="I17" t="s">
        <v>72</v>
      </c>
    </row>
    <row r="18" spans="1:9" x14ac:dyDescent="0.25">
      <c r="A18">
        <v>2</v>
      </c>
      <c r="B18">
        <v>2</v>
      </c>
      <c r="C18" s="19" t="s">
        <v>82</v>
      </c>
      <c r="D18" t="s">
        <v>57</v>
      </c>
      <c r="E18" s="41" t="s">
        <v>11</v>
      </c>
      <c r="F18" s="41">
        <v>1</v>
      </c>
      <c r="G18" s="20">
        <v>4</v>
      </c>
      <c r="H18" s="21">
        <v>4</v>
      </c>
      <c r="I18" t="s">
        <v>72</v>
      </c>
    </row>
    <row r="19" spans="1:9" x14ac:dyDescent="0.25">
      <c r="A19">
        <v>2</v>
      </c>
      <c r="B19">
        <v>2</v>
      </c>
      <c r="C19" s="19" t="s">
        <v>82</v>
      </c>
      <c r="D19" t="s">
        <v>57</v>
      </c>
      <c r="E19" s="41" t="s">
        <v>11</v>
      </c>
      <c r="F19" s="41">
        <v>1</v>
      </c>
      <c r="G19" s="24">
        <v>4</v>
      </c>
      <c r="H19" s="22">
        <v>4</v>
      </c>
      <c r="I19" t="s">
        <v>72</v>
      </c>
    </row>
    <row r="20" spans="1:9" x14ac:dyDescent="0.25">
      <c r="A20">
        <v>3</v>
      </c>
      <c r="B20">
        <v>1</v>
      </c>
      <c r="C20" s="19" t="s">
        <v>81</v>
      </c>
      <c r="D20" t="s">
        <v>63</v>
      </c>
      <c r="E20" s="41" t="s">
        <v>10</v>
      </c>
      <c r="F20" s="41">
        <v>2</v>
      </c>
      <c r="G20" s="20">
        <v>120</v>
      </c>
      <c r="H20" s="21">
        <v>240</v>
      </c>
      <c r="I20" t="s">
        <v>77</v>
      </c>
    </row>
    <row r="21" spans="1:9" x14ac:dyDescent="0.25">
      <c r="A21">
        <v>3</v>
      </c>
      <c r="B21">
        <v>1</v>
      </c>
      <c r="C21" s="19" t="s">
        <v>81</v>
      </c>
      <c r="D21" t="s">
        <v>63</v>
      </c>
      <c r="E21" s="41" t="s">
        <v>10</v>
      </c>
      <c r="F21" s="41">
        <v>2</v>
      </c>
      <c r="G21" s="20">
        <v>120</v>
      </c>
      <c r="H21" s="21">
        <v>240</v>
      </c>
      <c r="I21" t="s">
        <v>77</v>
      </c>
    </row>
    <row r="22" spans="1:9" x14ac:dyDescent="0.25">
      <c r="A22">
        <v>3</v>
      </c>
      <c r="B22">
        <v>1</v>
      </c>
      <c r="C22" s="19" t="s">
        <v>81</v>
      </c>
      <c r="D22" t="s">
        <v>63</v>
      </c>
      <c r="E22" s="41" t="s">
        <v>10</v>
      </c>
      <c r="F22" s="41">
        <v>3</v>
      </c>
      <c r="G22" s="20">
        <v>120</v>
      </c>
      <c r="H22" s="21">
        <v>360</v>
      </c>
      <c r="I22" t="s">
        <v>77</v>
      </c>
    </row>
    <row r="23" spans="1:9" x14ac:dyDescent="0.25">
      <c r="A23">
        <v>3</v>
      </c>
      <c r="B23">
        <v>1</v>
      </c>
      <c r="C23" s="19" t="s">
        <v>81</v>
      </c>
      <c r="D23" t="s">
        <v>63</v>
      </c>
      <c r="E23" s="41" t="s">
        <v>10</v>
      </c>
      <c r="F23" s="41">
        <v>4</v>
      </c>
      <c r="G23" s="20">
        <v>120</v>
      </c>
      <c r="H23" s="21">
        <v>480</v>
      </c>
      <c r="I23" t="s">
        <v>77</v>
      </c>
    </row>
    <row r="24" spans="1:9" x14ac:dyDescent="0.25">
      <c r="A24">
        <v>3</v>
      </c>
      <c r="B24">
        <v>3</v>
      </c>
      <c r="C24" s="19" t="s">
        <v>80</v>
      </c>
      <c r="D24" t="s">
        <v>58</v>
      </c>
      <c r="E24" s="41" t="s">
        <v>6</v>
      </c>
      <c r="F24" s="41"/>
      <c r="G24" s="20">
        <v>2</v>
      </c>
      <c r="H24" s="21"/>
      <c r="I24" t="s">
        <v>77</v>
      </c>
    </row>
    <row r="25" spans="1:9" x14ac:dyDescent="0.25">
      <c r="A25">
        <v>3</v>
      </c>
      <c r="B25">
        <v>1</v>
      </c>
      <c r="C25" s="19" t="s">
        <v>81</v>
      </c>
      <c r="D25" t="s">
        <v>63</v>
      </c>
      <c r="E25" s="41" t="s">
        <v>10</v>
      </c>
      <c r="F25" s="41">
        <v>1</v>
      </c>
      <c r="G25" s="20">
        <v>120</v>
      </c>
      <c r="H25" s="21">
        <v>120</v>
      </c>
      <c r="I25" t="s">
        <v>77</v>
      </c>
    </row>
    <row r="26" spans="1:9" x14ac:dyDescent="0.25">
      <c r="A26">
        <v>3</v>
      </c>
      <c r="B26">
        <v>3</v>
      </c>
      <c r="C26" s="19" t="s">
        <v>82</v>
      </c>
      <c r="D26" t="s">
        <v>57</v>
      </c>
      <c r="E26" s="41" t="s">
        <v>11</v>
      </c>
      <c r="F26" s="41">
        <v>2</v>
      </c>
      <c r="G26" s="20">
        <v>4</v>
      </c>
      <c r="H26" s="21">
        <v>8</v>
      </c>
      <c r="I26" t="s">
        <v>77</v>
      </c>
    </row>
    <row r="27" spans="1:9" x14ac:dyDescent="0.25">
      <c r="A27">
        <v>3</v>
      </c>
      <c r="B27">
        <v>2</v>
      </c>
      <c r="C27" s="19" t="s">
        <v>82</v>
      </c>
      <c r="D27" t="s">
        <v>57</v>
      </c>
      <c r="E27" s="41" t="s">
        <v>11</v>
      </c>
      <c r="F27" s="41">
        <v>1</v>
      </c>
      <c r="G27" s="20">
        <v>4</v>
      </c>
      <c r="H27" s="21">
        <v>4</v>
      </c>
      <c r="I27" t="s">
        <v>77</v>
      </c>
    </row>
    <row r="28" spans="1:9" x14ac:dyDescent="0.25">
      <c r="A28">
        <v>3</v>
      </c>
      <c r="B28">
        <v>2</v>
      </c>
      <c r="C28" s="19" t="s">
        <v>82</v>
      </c>
      <c r="D28" t="s">
        <v>57</v>
      </c>
      <c r="E28" s="41" t="s">
        <v>11</v>
      </c>
      <c r="F28" s="41">
        <v>1</v>
      </c>
      <c r="G28" s="24">
        <v>4</v>
      </c>
      <c r="H28" s="22">
        <v>4</v>
      </c>
      <c r="I28" t="s">
        <v>77</v>
      </c>
    </row>
    <row r="29" spans="1:9" x14ac:dyDescent="0.25">
      <c r="A29">
        <v>4</v>
      </c>
      <c r="B29">
        <v>1</v>
      </c>
      <c r="C29" s="19" t="s">
        <v>81</v>
      </c>
      <c r="D29" t="s">
        <v>63</v>
      </c>
      <c r="E29" s="41" t="s">
        <v>10</v>
      </c>
      <c r="F29" s="41">
        <v>2</v>
      </c>
      <c r="G29" s="20">
        <v>120</v>
      </c>
      <c r="H29" s="21">
        <v>240</v>
      </c>
      <c r="I29" t="s">
        <v>72</v>
      </c>
    </row>
    <row r="30" spans="1:9" x14ac:dyDescent="0.25">
      <c r="A30">
        <v>4</v>
      </c>
      <c r="B30">
        <v>1</v>
      </c>
      <c r="C30" s="19" t="s">
        <v>81</v>
      </c>
      <c r="D30" t="s">
        <v>63</v>
      </c>
      <c r="E30" s="41" t="s">
        <v>10</v>
      </c>
      <c r="F30" s="41">
        <v>2</v>
      </c>
      <c r="G30" s="20">
        <v>120</v>
      </c>
      <c r="H30" s="21">
        <v>240</v>
      </c>
      <c r="I30" t="s">
        <v>72</v>
      </c>
    </row>
    <row r="31" spans="1:9" x14ac:dyDescent="0.25">
      <c r="A31">
        <v>4</v>
      </c>
      <c r="B31">
        <v>1</v>
      </c>
      <c r="C31" s="19" t="s">
        <v>81</v>
      </c>
      <c r="D31" t="s">
        <v>63</v>
      </c>
      <c r="E31" s="41" t="s">
        <v>10</v>
      </c>
      <c r="F31" s="41">
        <v>3</v>
      </c>
      <c r="G31" s="20">
        <v>120</v>
      </c>
      <c r="H31" s="21">
        <v>360</v>
      </c>
      <c r="I31" t="s">
        <v>72</v>
      </c>
    </row>
    <row r="32" spans="1:9" x14ac:dyDescent="0.25">
      <c r="A32">
        <v>4</v>
      </c>
      <c r="B32">
        <v>1</v>
      </c>
      <c r="C32" s="19" t="s">
        <v>81</v>
      </c>
      <c r="D32" t="s">
        <v>63</v>
      </c>
      <c r="E32" s="41" t="s">
        <v>10</v>
      </c>
      <c r="F32" s="41">
        <v>4</v>
      </c>
      <c r="G32" s="20">
        <v>120</v>
      </c>
      <c r="H32" s="21">
        <v>480</v>
      </c>
      <c r="I32" t="s">
        <v>72</v>
      </c>
    </row>
    <row r="33" spans="1:9" x14ac:dyDescent="0.25">
      <c r="A33">
        <v>4</v>
      </c>
      <c r="B33">
        <v>3</v>
      </c>
      <c r="C33" s="19" t="s">
        <v>80</v>
      </c>
      <c r="D33" t="s">
        <v>58</v>
      </c>
      <c r="E33" s="41" t="s">
        <v>6</v>
      </c>
      <c r="F33" s="41"/>
      <c r="G33" s="20">
        <v>2</v>
      </c>
      <c r="H33" s="21"/>
      <c r="I33" t="s">
        <v>72</v>
      </c>
    </row>
    <row r="34" spans="1:9" x14ac:dyDescent="0.25">
      <c r="A34">
        <v>4</v>
      </c>
      <c r="B34">
        <v>1</v>
      </c>
      <c r="C34" s="19" t="s">
        <v>81</v>
      </c>
      <c r="D34" t="s">
        <v>63</v>
      </c>
      <c r="E34" s="41" t="s">
        <v>10</v>
      </c>
      <c r="F34" s="41">
        <v>1</v>
      </c>
      <c r="G34" s="20">
        <v>120</v>
      </c>
      <c r="H34" s="21">
        <v>120</v>
      </c>
      <c r="I34" t="s">
        <v>72</v>
      </c>
    </row>
    <row r="35" spans="1:9" x14ac:dyDescent="0.25">
      <c r="A35">
        <v>4</v>
      </c>
      <c r="B35">
        <v>3</v>
      </c>
      <c r="C35" s="19" t="s">
        <v>82</v>
      </c>
      <c r="D35" t="s">
        <v>57</v>
      </c>
      <c r="E35" s="41" t="s">
        <v>11</v>
      </c>
      <c r="F35" s="41">
        <v>2</v>
      </c>
      <c r="G35" s="20">
        <v>4</v>
      </c>
      <c r="H35" s="21">
        <v>8</v>
      </c>
      <c r="I35" t="s">
        <v>72</v>
      </c>
    </row>
    <row r="36" spans="1:9" x14ac:dyDescent="0.25">
      <c r="A36">
        <v>4</v>
      </c>
      <c r="B36">
        <v>2</v>
      </c>
      <c r="C36" s="19" t="s">
        <v>82</v>
      </c>
      <c r="D36" t="s">
        <v>57</v>
      </c>
      <c r="E36" s="41" t="s">
        <v>11</v>
      </c>
      <c r="F36" s="41">
        <v>1</v>
      </c>
      <c r="G36" s="20">
        <v>4</v>
      </c>
      <c r="H36" s="21">
        <v>4</v>
      </c>
      <c r="I36" t="s">
        <v>72</v>
      </c>
    </row>
    <row r="37" spans="1:9" x14ac:dyDescent="0.25">
      <c r="A37">
        <v>4</v>
      </c>
      <c r="B37">
        <v>2</v>
      </c>
      <c r="C37" s="19" t="s">
        <v>82</v>
      </c>
      <c r="D37" t="s">
        <v>57</v>
      </c>
      <c r="E37" s="41" t="s">
        <v>11</v>
      </c>
      <c r="F37" s="41">
        <v>1</v>
      </c>
      <c r="G37" s="24">
        <v>4</v>
      </c>
      <c r="H37" s="22">
        <v>4</v>
      </c>
      <c r="I37" t="s">
        <v>72</v>
      </c>
    </row>
    <row r="38" spans="1:9" x14ac:dyDescent="0.25">
      <c r="A38">
        <v>5</v>
      </c>
      <c r="B38">
        <v>1</v>
      </c>
      <c r="C38" s="19" t="s">
        <v>81</v>
      </c>
      <c r="D38" t="s">
        <v>63</v>
      </c>
      <c r="E38" s="42" t="s">
        <v>10</v>
      </c>
      <c r="F38" s="42">
        <v>2</v>
      </c>
      <c r="G38" s="20">
        <v>120</v>
      </c>
      <c r="H38" s="21">
        <v>240</v>
      </c>
      <c r="I38" t="s">
        <v>72</v>
      </c>
    </row>
    <row r="39" spans="1:9" x14ac:dyDescent="0.25">
      <c r="A39">
        <v>5</v>
      </c>
      <c r="B39">
        <v>1</v>
      </c>
      <c r="C39" s="19" t="s">
        <v>81</v>
      </c>
      <c r="D39" t="s">
        <v>63</v>
      </c>
      <c r="E39" s="42" t="s">
        <v>10</v>
      </c>
      <c r="F39" s="42">
        <v>2</v>
      </c>
      <c r="G39" s="20">
        <v>120</v>
      </c>
      <c r="H39" s="21">
        <v>240</v>
      </c>
      <c r="I39" t="s">
        <v>72</v>
      </c>
    </row>
    <row r="40" spans="1:9" x14ac:dyDescent="0.25">
      <c r="A40">
        <v>5</v>
      </c>
      <c r="B40">
        <v>1</v>
      </c>
      <c r="C40" s="19" t="s">
        <v>81</v>
      </c>
      <c r="D40" t="s">
        <v>63</v>
      </c>
      <c r="E40" s="42" t="s">
        <v>10</v>
      </c>
      <c r="F40" s="42">
        <v>3</v>
      </c>
      <c r="G40" s="20">
        <v>120</v>
      </c>
      <c r="H40" s="21">
        <v>360</v>
      </c>
      <c r="I40" t="s">
        <v>72</v>
      </c>
    </row>
    <row r="41" spans="1:9" x14ac:dyDescent="0.25">
      <c r="A41">
        <v>5</v>
      </c>
      <c r="B41">
        <v>1</v>
      </c>
      <c r="C41" s="19" t="s">
        <v>81</v>
      </c>
      <c r="D41" t="s">
        <v>63</v>
      </c>
      <c r="E41" s="42" t="s">
        <v>10</v>
      </c>
      <c r="F41" s="42">
        <v>4</v>
      </c>
      <c r="G41" s="20">
        <v>120</v>
      </c>
      <c r="H41" s="21">
        <v>480</v>
      </c>
      <c r="I41" t="s">
        <v>72</v>
      </c>
    </row>
    <row r="42" spans="1:9" x14ac:dyDescent="0.25">
      <c r="A42">
        <v>5</v>
      </c>
      <c r="B42">
        <v>3</v>
      </c>
      <c r="C42" s="19" t="s">
        <v>80</v>
      </c>
      <c r="D42" t="s">
        <v>58</v>
      </c>
      <c r="E42" s="42" t="s">
        <v>6</v>
      </c>
      <c r="F42" s="42"/>
      <c r="G42" s="20">
        <v>2</v>
      </c>
      <c r="H42" s="21"/>
      <c r="I42" t="s">
        <v>72</v>
      </c>
    </row>
    <row r="43" spans="1:9" x14ac:dyDescent="0.25">
      <c r="A43">
        <v>5</v>
      </c>
      <c r="B43">
        <v>1</v>
      </c>
      <c r="C43" s="19" t="s">
        <v>81</v>
      </c>
      <c r="D43" t="s">
        <v>63</v>
      </c>
      <c r="E43" s="42" t="s">
        <v>10</v>
      </c>
      <c r="F43" s="42">
        <v>1</v>
      </c>
      <c r="G43" s="20">
        <v>120</v>
      </c>
      <c r="H43" s="21">
        <v>120</v>
      </c>
      <c r="I43" t="s">
        <v>72</v>
      </c>
    </row>
    <row r="44" spans="1:9" x14ac:dyDescent="0.25">
      <c r="A44">
        <v>5</v>
      </c>
      <c r="B44">
        <v>3</v>
      </c>
      <c r="C44" s="19" t="s">
        <v>82</v>
      </c>
      <c r="D44" t="s">
        <v>57</v>
      </c>
      <c r="E44" s="42" t="s">
        <v>11</v>
      </c>
      <c r="F44" s="42">
        <v>2</v>
      </c>
      <c r="G44" s="20">
        <v>4</v>
      </c>
      <c r="H44" s="21">
        <v>8</v>
      </c>
      <c r="I44" t="s">
        <v>72</v>
      </c>
    </row>
    <row r="45" spans="1:9" x14ac:dyDescent="0.25">
      <c r="A45">
        <v>5</v>
      </c>
      <c r="B45">
        <v>2</v>
      </c>
      <c r="C45" s="19" t="s">
        <v>82</v>
      </c>
      <c r="D45" t="s">
        <v>57</v>
      </c>
      <c r="E45" s="42" t="s">
        <v>11</v>
      </c>
      <c r="F45" s="42">
        <v>1</v>
      </c>
      <c r="G45" s="20">
        <v>4</v>
      </c>
      <c r="H45" s="21">
        <v>4</v>
      </c>
      <c r="I45" t="s">
        <v>72</v>
      </c>
    </row>
    <row r="46" spans="1:9" x14ac:dyDescent="0.25">
      <c r="A46">
        <v>5</v>
      </c>
      <c r="B46">
        <v>2</v>
      </c>
      <c r="C46" s="19" t="s">
        <v>82</v>
      </c>
      <c r="D46" t="s">
        <v>57</v>
      </c>
      <c r="E46" s="42" t="s">
        <v>11</v>
      </c>
      <c r="F46" s="42">
        <v>1</v>
      </c>
      <c r="G46" s="24">
        <v>4</v>
      </c>
      <c r="H46" s="22">
        <v>4</v>
      </c>
      <c r="I46" t="s">
        <v>72</v>
      </c>
    </row>
    <row r="47" spans="1:9" x14ac:dyDescent="0.25">
      <c r="A47">
        <v>6</v>
      </c>
      <c r="B47">
        <v>2</v>
      </c>
      <c r="C47" s="19" t="s">
        <v>82</v>
      </c>
      <c r="D47" t="s">
        <v>57</v>
      </c>
      <c r="E47" s="47" t="s">
        <v>11</v>
      </c>
      <c r="F47" s="47">
        <v>2</v>
      </c>
      <c r="G47" s="20">
        <v>4</v>
      </c>
      <c r="H47" s="21">
        <v>8</v>
      </c>
      <c r="I47" t="s">
        <v>72</v>
      </c>
    </row>
    <row r="48" spans="1:9" x14ac:dyDescent="0.25">
      <c r="A48">
        <v>7</v>
      </c>
      <c r="B48">
        <v>1</v>
      </c>
      <c r="C48" s="19" t="s">
        <v>81</v>
      </c>
      <c r="D48" t="s">
        <v>63</v>
      </c>
      <c r="E48" s="47" t="s">
        <v>10</v>
      </c>
      <c r="F48" s="47">
        <v>1</v>
      </c>
      <c r="G48" s="20">
        <v>120</v>
      </c>
      <c r="H48" s="21">
        <v>120</v>
      </c>
      <c r="I48" t="s">
        <v>72</v>
      </c>
    </row>
    <row r="49" spans="1:9" x14ac:dyDescent="0.25">
      <c r="A49">
        <v>7</v>
      </c>
      <c r="B49">
        <v>1</v>
      </c>
      <c r="C49" s="19" t="s">
        <v>81</v>
      </c>
      <c r="D49" t="s">
        <v>63</v>
      </c>
      <c r="E49" s="47" t="s">
        <v>10</v>
      </c>
      <c r="F49" s="47">
        <v>2</v>
      </c>
      <c r="G49" s="20">
        <v>120</v>
      </c>
      <c r="H49" s="21">
        <v>240</v>
      </c>
      <c r="I49" t="s">
        <v>72</v>
      </c>
    </row>
    <row r="50" spans="1:9" x14ac:dyDescent="0.25">
      <c r="A50">
        <v>8</v>
      </c>
      <c r="B50">
        <v>3</v>
      </c>
      <c r="C50" s="19" t="s">
        <v>80</v>
      </c>
      <c r="D50" t="s">
        <v>58</v>
      </c>
      <c r="E50" s="47" t="s">
        <v>6</v>
      </c>
      <c r="F50" s="47">
        <v>3</v>
      </c>
      <c r="G50" s="20">
        <v>2</v>
      </c>
      <c r="H50" s="21">
        <v>6</v>
      </c>
      <c r="I50" t="s">
        <v>72</v>
      </c>
    </row>
    <row r="51" spans="1:9" x14ac:dyDescent="0.25">
      <c r="A51">
        <v>9</v>
      </c>
      <c r="B51">
        <v>1</v>
      </c>
      <c r="C51" s="19" t="s">
        <v>81</v>
      </c>
      <c r="D51" t="s">
        <v>63</v>
      </c>
      <c r="E51" s="47" t="s">
        <v>10</v>
      </c>
      <c r="F51" s="47">
        <v>3</v>
      </c>
      <c r="G51" s="20">
        <v>120</v>
      </c>
      <c r="H51" s="21">
        <v>360</v>
      </c>
      <c r="I51" t="s">
        <v>72</v>
      </c>
    </row>
    <row r="52" spans="1:9" x14ac:dyDescent="0.25">
      <c r="A52">
        <v>10</v>
      </c>
      <c r="B52">
        <v>1</v>
      </c>
      <c r="C52" s="19" t="s">
        <v>81</v>
      </c>
      <c r="D52" t="s">
        <v>63</v>
      </c>
      <c r="E52" s="47" t="s">
        <v>10</v>
      </c>
      <c r="F52" s="47">
        <v>3</v>
      </c>
      <c r="G52" s="20">
        <v>120</v>
      </c>
      <c r="H52" s="21">
        <v>360</v>
      </c>
      <c r="I52" t="s">
        <v>72</v>
      </c>
    </row>
    <row r="53" spans="1:9" x14ac:dyDescent="0.25">
      <c r="A53">
        <v>10</v>
      </c>
      <c r="B53">
        <v>5</v>
      </c>
      <c r="C53" s="19" t="s">
        <v>66</v>
      </c>
      <c r="D53" t="s">
        <v>66</v>
      </c>
      <c r="E53" s="47" t="s">
        <v>8</v>
      </c>
      <c r="F53" s="47">
        <v>2</v>
      </c>
      <c r="G53" s="20">
        <v>5</v>
      </c>
      <c r="H53" s="21">
        <v>10</v>
      </c>
      <c r="I53" t="s">
        <v>72</v>
      </c>
    </row>
    <row r="54" spans="1:9" x14ac:dyDescent="0.25">
      <c r="A54">
        <v>10</v>
      </c>
      <c r="B54">
        <v>4</v>
      </c>
      <c r="C54" s="19" t="s">
        <v>65</v>
      </c>
      <c r="D54" t="s">
        <v>64</v>
      </c>
      <c r="E54" s="47" t="s">
        <v>7</v>
      </c>
      <c r="F54" s="47">
        <v>1</v>
      </c>
      <c r="G54" s="20">
        <v>3</v>
      </c>
      <c r="H54" s="21">
        <v>3</v>
      </c>
      <c r="I54" t="s">
        <v>72</v>
      </c>
    </row>
    <row r="55" spans="1:9" x14ac:dyDescent="0.25">
      <c r="A55">
        <v>11</v>
      </c>
      <c r="B55">
        <v>2</v>
      </c>
      <c r="C55" s="19" t="s">
        <v>82</v>
      </c>
      <c r="D55" t="s">
        <v>57</v>
      </c>
      <c r="E55" s="47" t="s">
        <v>11</v>
      </c>
      <c r="F55" s="47">
        <v>2</v>
      </c>
      <c r="G55" s="20">
        <v>4</v>
      </c>
      <c r="H55" s="21">
        <v>8</v>
      </c>
      <c r="I55" t="s">
        <v>72</v>
      </c>
    </row>
    <row r="56" spans="1:9" x14ac:dyDescent="0.25">
      <c r="A56">
        <v>12</v>
      </c>
      <c r="B56">
        <v>3</v>
      </c>
      <c r="C56" s="19" t="s">
        <v>80</v>
      </c>
      <c r="D56" t="s">
        <v>58</v>
      </c>
      <c r="E56" s="48" t="s">
        <v>6</v>
      </c>
      <c r="F56" s="48">
        <v>2</v>
      </c>
      <c r="G56" s="20">
        <v>2</v>
      </c>
      <c r="H56" s="21">
        <v>4</v>
      </c>
      <c r="I56" t="s">
        <v>72</v>
      </c>
    </row>
    <row r="57" spans="1:9" x14ac:dyDescent="0.25">
      <c r="A57">
        <v>13</v>
      </c>
      <c r="B57">
        <v>1</v>
      </c>
      <c r="C57" s="19" t="s">
        <v>81</v>
      </c>
      <c r="D57" t="s">
        <v>63</v>
      </c>
      <c r="E57" s="48" t="s">
        <v>10</v>
      </c>
      <c r="F57" s="48">
        <v>2</v>
      </c>
      <c r="G57" s="20">
        <v>120</v>
      </c>
      <c r="H57" s="21">
        <v>240</v>
      </c>
      <c r="I57" t="s">
        <v>77</v>
      </c>
    </row>
    <row r="58" spans="1:9" x14ac:dyDescent="0.25">
      <c r="A58">
        <v>13</v>
      </c>
      <c r="B58">
        <v>5</v>
      </c>
      <c r="C58" s="19" t="s">
        <v>66</v>
      </c>
      <c r="D58" t="s">
        <v>66</v>
      </c>
      <c r="E58" s="48" t="s">
        <v>8</v>
      </c>
      <c r="F58" s="48">
        <v>3</v>
      </c>
      <c r="G58" s="20">
        <v>5</v>
      </c>
      <c r="H58" s="21">
        <v>15</v>
      </c>
      <c r="I58" t="s">
        <v>77</v>
      </c>
    </row>
    <row r="59" spans="1:9" ht="15.75" thickBot="1" x14ac:dyDescent="0.3">
      <c r="A59">
        <v>14</v>
      </c>
      <c r="B59" s="16" t="s">
        <v>12</v>
      </c>
      <c r="C59" s="17" t="s">
        <v>31</v>
      </c>
      <c r="D59" s="17" t="s">
        <v>14</v>
      </c>
      <c r="E59" s="18" t="s">
        <v>8</v>
      </c>
      <c r="F59" s="18" t="s">
        <v>32</v>
      </c>
      <c r="G59" s="18" t="s">
        <v>33</v>
      </c>
      <c r="H59" s="18" t="s">
        <v>34</v>
      </c>
      <c r="I59" t="s">
        <v>72</v>
      </c>
    </row>
    <row r="60" spans="1:9" x14ac:dyDescent="0.25">
      <c r="A60">
        <v>15</v>
      </c>
      <c r="B60">
        <v>3</v>
      </c>
      <c r="C60" s="19" t="s">
        <v>81</v>
      </c>
      <c r="D60" t="s">
        <v>63</v>
      </c>
      <c r="E60" s="48" t="s">
        <v>10</v>
      </c>
      <c r="F60" s="48"/>
      <c r="G60" s="20">
        <v>120</v>
      </c>
      <c r="H60" s="21"/>
      <c r="I60" t="s">
        <v>72</v>
      </c>
    </row>
    <row r="61" spans="1:9" x14ac:dyDescent="0.25">
      <c r="A61">
        <v>15</v>
      </c>
      <c r="B61">
        <v>1</v>
      </c>
      <c r="C61" s="19" t="s">
        <v>81</v>
      </c>
      <c r="D61" t="s">
        <v>63</v>
      </c>
      <c r="E61" s="48" t="s">
        <v>10</v>
      </c>
      <c r="F61" s="48">
        <v>2</v>
      </c>
      <c r="G61" s="20">
        <v>120</v>
      </c>
      <c r="H61" s="21">
        <v>240</v>
      </c>
      <c r="I61" t="s">
        <v>72</v>
      </c>
    </row>
    <row r="62" spans="1:9" x14ac:dyDescent="0.25">
      <c r="A62">
        <v>15</v>
      </c>
      <c r="B62">
        <v>5</v>
      </c>
      <c r="C62" s="19" t="s">
        <v>66</v>
      </c>
      <c r="D62" t="s">
        <v>66</v>
      </c>
      <c r="E62" s="48" t="s">
        <v>8</v>
      </c>
      <c r="F62" s="48">
        <v>3</v>
      </c>
      <c r="G62" s="20">
        <v>5</v>
      </c>
      <c r="H62" s="21">
        <v>15</v>
      </c>
      <c r="I62" t="s">
        <v>72</v>
      </c>
    </row>
    <row r="63" spans="1:9" x14ac:dyDescent="0.25">
      <c r="A63">
        <v>16</v>
      </c>
      <c r="B63">
        <v>1</v>
      </c>
      <c r="C63" s="19" t="s">
        <v>81</v>
      </c>
      <c r="D63" t="s">
        <v>63</v>
      </c>
      <c r="E63" s="48" t="s">
        <v>10</v>
      </c>
      <c r="F63" s="48">
        <v>2</v>
      </c>
      <c r="G63" s="20">
        <v>120</v>
      </c>
      <c r="H63" s="21">
        <v>240</v>
      </c>
      <c r="I63" t="s">
        <v>72</v>
      </c>
    </row>
    <row r="64" spans="1:9" x14ac:dyDescent="0.25">
      <c r="A64">
        <v>17</v>
      </c>
      <c r="B64">
        <v>3</v>
      </c>
      <c r="C64" s="19" t="s">
        <v>80</v>
      </c>
      <c r="D64" t="s">
        <v>58</v>
      </c>
      <c r="E64" s="49" t="s">
        <v>6</v>
      </c>
      <c r="F64" s="49">
        <v>2</v>
      </c>
      <c r="G64" s="20">
        <v>2</v>
      </c>
      <c r="H64" s="21">
        <v>4</v>
      </c>
      <c r="I64" t="s">
        <v>72</v>
      </c>
    </row>
    <row r="65" spans="1:9" x14ac:dyDescent="0.25">
      <c r="A65">
        <v>17</v>
      </c>
      <c r="B65">
        <v>3</v>
      </c>
      <c r="C65" s="19" t="s">
        <v>80</v>
      </c>
      <c r="D65" t="s">
        <v>58</v>
      </c>
      <c r="E65" s="49" t="s">
        <v>6</v>
      </c>
      <c r="F65" s="49">
        <v>3</v>
      </c>
      <c r="G65" s="20">
        <v>2</v>
      </c>
      <c r="H65" s="21">
        <v>6</v>
      </c>
      <c r="I65" t="s">
        <v>72</v>
      </c>
    </row>
    <row r="66" spans="1:9" x14ac:dyDescent="0.25">
      <c r="A66">
        <v>18</v>
      </c>
      <c r="B66">
        <v>3</v>
      </c>
      <c r="C66" s="19" t="s">
        <v>80</v>
      </c>
      <c r="D66" t="s">
        <v>58</v>
      </c>
      <c r="E66" s="49" t="s">
        <v>6</v>
      </c>
      <c r="F66" s="49">
        <v>3</v>
      </c>
      <c r="G66" s="20">
        <v>2</v>
      </c>
      <c r="H66" s="21">
        <v>6</v>
      </c>
      <c r="I66" t="s">
        <v>77</v>
      </c>
    </row>
    <row r="67" spans="1:9" x14ac:dyDescent="0.25">
      <c r="A67">
        <v>19</v>
      </c>
      <c r="B67">
        <v>3</v>
      </c>
      <c r="C67" s="19" t="s">
        <v>80</v>
      </c>
      <c r="D67" t="s">
        <v>58</v>
      </c>
      <c r="E67" s="50" t="s">
        <v>6</v>
      </c>
      <c r="F67" s="50">
        <v>3</v>
      </c>
      <c r="G67" s="20">
        <v>2</v>
      </c>
      <c r="H67" s="21">
        <v>6</v>
      </c>
      <c r="I67" t="s">
        <v>72</v>
      </c>
    </row>
    <row r="68" spans="1:9" x14ac:dyDescent="0.25">
      <c r="A68">
        <v>19</v>
      </c>
      <c r="B68">
        <v>2</v>
      </c>
      <c r="C68" s="19" t="s">
        <v>82</v>
      </c>
      <c r="D68" t="s">
        <v>57</v>
      </c>
      <c r="E68" s="50" t="s">
        <v>11</v>
      </c>
      <c r="F68" s="50">
        <v>2</v>
      </c>
      <c r="G68" s="20">
        <v>4</v>
      </c>
      <c r="H68" s="21">
        <v>8</v>
      </c>
      <c r="I68" t="s">
        <v>72</v>
      </c>
    </row>
    <row r="69" spans="1:9" x14ac:dyDescent="0.25">
      <c r="A69">
        <v>19</v>
      </c>
      <c r="B69">
        <v>1</v>
      </c>
      <c r="C69" s="19" t="s">
        <v>81</v>
      </c>
      <c r="D69" t="s">
        <v>63</v>
      </c>
      <c r="E69" s="50" t="s">
        <v>10</v>
      </c>
      <c r="F69" s="50">
        <v>11</v>
      </c>
      <c r="G69" s="20">
        <v>120</v>
      </c>
      <c r="H69" s="21">
        <v>1320</v>
      </c>
      <c r="I69" t="s">
        <v>72</v>
      </c>
    </row>
    <row r="70" spans="1:9" x14ac:dyDescent="0.25">
      <c r="A70">
        <v>19</v>
      </c>
      <c r="B70">
        <v>3</v>
      </c>
      <c r="C70" s="19" t="s">
        <v>80</v>
      </c>
      <c r="D70" t="s">
        <v>58</v>
      </c>
      <c r="E70" s="50" t="s">
        <v>6</v>
      </c>
      <c r="F70" s="50">
        <v>4</v>
      </c>
      <c r="G70" s="20">
        <v>2</v>
      </c>
      <c r="H70" s="21">
        <v>8</v>
      </c>
      <c r="I70" t="s">
        <v>72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M8"/>
  <sheetViews>
    <sheetView workbookViewId="0">
      <selection activeCell="E16" sqref="E16"/>
    </sheetView>
  </sheetViews>
  <sheetFormatPr defaultRowHeight="15" x14ac:dyDescent="0.25"/>
  <cols>
    <col min="1" max="1" width="18.375" bestFit="1" customWidth="1"/>
    <col min="2" max="2" width="2.375" customWidth="1"/>
    <col min="3" max="3" width="19" bestFit="1" customWidth="1"/>
    <col min="4" max="4" width="2" customWidth="1"/>
    <col min="5" max="5" width="18.375" style="40" bestFit="1" customWidth="1"/>
    <col min="6" max="6" width="18" style="50" bestFit="1" customWidth="1"/>
    <col min="7" max="7" width="2.75" customWidth="1"/>
    <col min="8" max="8" width="26.875" bestFit="1" customWidth="1"/>
    <col min="9" max="9" width="2.75" customWidth="1"/>
    <col min="10" max="10" width="9.625" bestFit="1" customWidth="1"/>
    <col min="11" max="11" width="25.875" bestFit="1" customWidth="1"/>
    <col min="13" max="13" width="11.375" bestFit="1" customWidth="1"/>
  </cols>
  <sheetData>
    <row r="1" spans="1:13" x14ac:dyDescent="0.25">
      <c r="A1" s="2" t="s">
        <v>0</v>
      </c>
      <c r="C1" s="2" t="s">
        <v>1</v>
      </c>
      <c r="E1" s="39" t="s">
        <v>2</v>
      </c>
      <c r="F1" s="36" t="s">
        <v>3</v>
      </c>
      <c r="H1" s="2" t="s">
        <v>4</v>
      </c>
      <c r="J1" s="52" t="s">
        <v>42</v>
      </c>
      <c r="K1" s="52"/>
      <c r="L1" s="2"/>
      <c r="M1" s="2" t="s">
        <v>43</v>
      </c>
    </row>
    <row r="2" spans="1:13" x14ac:dyDescent="0.25">
      <c r="A2" t="s">
        <v>5</v>
      </c>
      <c r="C2" t="s">
        <v>59</v>
      </c>
      <c r="E2" s="32" t="s">
        <v>57</v>
      </c>
      <c r="F2" s="32">
        <v>11111</v>
      </c>
      <c r="H2" s="1">
        <v>28</v>
      </c>
      <c r="J2" t="s">
        <v>44</v>
      </c>
      <c r="K2" s="29" t="s">
        <v>52</v>
      </c>
      <c r="M2">
        <v>1</v>
      </c>
    </row>
    <row r="3" spans="1:13" x14ac:dyDescent="0.25">
      <c r="A3" t="s">
        <v>6</v>
      </c>
      <c r="C3" t="s">
        <v>60</v>
      </c>
      <c r="E3" s="32" t="s">
        <v>63</v>
      </c>
      <c r="F3" s="32">
        <v>999999</v>
      </c>
      <c r="J3" t="s">
        <v>45</v>
      </c>
      <c r="K3" s="30" t="s">
        <v>53</v>
      </c>
      <c r="M3">
        <v>1</v>
      </c>
    </row>
    <row r="4" spans="1:13" x14ac:dyDescent="0.25">
      <c r="A4" t="s">
        <v>7</v>
      </c>
      <c r="C4" t="s">
        <v>61</v>
      </c>
      <c r="E4" s="32" t="s">
        <v>58</v>
      </c>
      <c r="F4" s="32">
        <v>22222</v>
      </c>
      <c r="J4" t="s">
        <v>46</v>
      </c>
      <c r="K4" s="29" t="s">
        <v>54</v>
      </c>
      <c r="M4">
        <v>2</v>
      </c>
    </row>
    <row r="5" spans="1:13" x14ac:dyDescent="0.25">
      <c r="A5" t="s">
        <v>8</v>
      </c>
      <c r="C5" t="s">
        <v>62</v>
      </c>
      <c r="E5" s="32" t="s">
        <v>66</v>
      </c>
      <c r="F5" s="32" t="s">
        <v>66</v>
      </c>
      <c r="J5" t="s">
        <v>47</v>
      </c>
      <c r="K5" s="29" t="s">
        <v>55</v>
      </c>
    </row>
    <row r="6" spans="1:13" x14ac:dyDescent="0.25">
      <c r="A6" t="s">
        <v>9</v>
      </c>
      <c r="E6" s="32" t="s">
        <v>64</v>
      </c>
      <c r="F6" s="32" t="s">
        <v>65</v>
      </c>
      <c r="J6" t="s">
        <v>48</v>
      </c>
      <c r="K6" s="29" t="s">
        <v>56</v>
      </c>
    </row>
    <row r="7" spans="1:13" x14ac:dyDescent="0.25">
      <c r="A7" t="s">
        <v>10</v>
      </c>
      <c r="E7" s="32"/>
      <c r="F7" s="32"/>
      <c r="J7" t="s">
        <v>49</v>
      </c>
      <c r="K7" s="29" t="s">
        <v>50</v>
      </c>
    </row>
    <row r="8" spans="1:13" x14ac:dyDescent="0.25">
      <c r="A8" t="s">
        <v>11</v>
      </c>
      <c r="J8" t="s">
        <v>19</v>
      </c>
      <c r="K8" s="31" t="s">
        <v>51</v>
      </c>
    </row>
  </sheetData>
  <sortState ref="E2:F6">
    <sortCondition ref="E2"/>
  </sortState>
  <mergeCells count="1">
    <mergeCell ref="J1:K1"/>
  </mergeCells>
  <hyperlinks>
    <hyperlink ref="K3" r:id="rId1"/>
  </hyperlink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>
    <pageSetUpPr fitToPage="1"/>
  </sheetPr>
  <dimension ref="A1:M54"/>
  <sheetViews>
    <sheetView tabSelected="1" topLeftCell="A7" workbookViewId="0">
      <selection activeCell="H21" sqref="H21"/>
    </sheetView>
  </sheetViews>
  <sheetFormatPr defaultColWidth="0" defaultRowHeight="15" zeroHeight="1" x14ac:dyDescent="0.25"/>
  <cols>
    <col min="1" max="1" width="0.375" style="7" customWidth="1"/>
    <col min="2" max="2" width="1.25" style="13" customWidth="1"/>
    <col min="3" max="3" width="9.125" customWidth="1"/>
    <col min="4" max="4" width="14.125" bestFit="1" customWidth="1"/>
    <col min="5" max="5" width="35.75" customWidth="1"/>
    <col min="6" max="6" width="9.125" customWidth="1"/>
    <col min="7" max="7" width="6.75" customWidth="1"/>
    <col min="8" max="8" width="8.75" customWidth="1"/>
    <col min="9" max="9" width="10.625" customWidth="1"/>
    <col min="10" max="10" width="1.125" customWidth="1"/>
    <col min="11" max="11" width="0.625" style="8" customWidth="1"/>
    <col min="12" max="13" width="0" hidden="1" customWidth="1"/>
    <col min="14" max="16384" width="1.875" hidden="1"/>
  </cols>
  <sheetData>
    <row r="1" spans="1:11" s="7" customFormat="1" ht="3.75" customHeight="1" x14ac:dyDescent="0.25">
      <c r="B1" s="8"/>
      <c r="K1" s="8"/>
    </row>
    <row r="2" spans="1:11" s="11" customFormat="1" ht="3.75" customHeight="1" x14ac:dyDescent="0.25">
      <c r="A2" s="9"/>
      <c r="B2" s="10"/>
      <c r="K2" s="12"/>
    </row>
    <row r="3" spans="1:11" x14ac:dyDescent="0.25">
      <c r="C3" s="56" t="s">
        <v>25</v>
      </c>
      <c r="D3" s="56"/>
      <c r="E3" s="57" t="s">
        <v>26</v>
      </c>
      <c r="F3" s="57"/>
      <c r="G3" s="57"/>
      <c r="H3" s="57"/>
      <c r="I3" s="57"/>
    </row>
    <row r="4" spans="1:11" x14ac:dyDescent="0.25">
      <c r="C4" s="56"/>
      <c r="D4" s="56"/>
      <c r="E4" s="58" t="s">
        <v>27</v>
      </c>
      <c r="F4" s="58"/>
      <c r="G4" s="58"/>
      <c r="H4" s="58"/>
      <c r="I4" s="58"/>
    </row>
    <row r="5" spans="1:11" x14ac:dyDescent="0.25">
      <c r="C5" s="56"/>
      <c r="D5" s="56"/>
    </row>
    <row r="6" spans="1:11" x14ac:dyDescent="0.25">
      <c r="C6" s="56"/>
      <c r="D6" s="56"/>
      <c r="F6" s="58"/>
      <c r="G6" s="58"/>
      <c r="H6" s="58"/>
    </row>
    <row r="7" spans="1:11" x14ac:dyDescent="0.25">
      <c r="C7" s="56"/>
      <c r="D7" s="56"/>
      <c r="H7" s="14" t="s">
        <v>28</v>
      </c>
      <c r="I7" s="15">
        <f>MAX('Orçamentos Salvos'!A2:A1048576)+1</f>
        <v>20</v>
      </c>
    </row>
    <row r="8" spans="1:11" x14ac:dyDescent="0.25"/>
    <row r="9" spans="1:11" x14ac:dyDescent="0.25">
      <c r="C9" s="58" t="s">
        <v>19</v>
      </c>
      <c r="D9" s="58"/>
      <c r="E9" s="61"/>
      <c r="F9" s="61"/>
      <c r="G9" s="61"/>
      <c r="H9" s="61"/>
      <c r="I9" s="62"/>
    </row>
    <row r="10" spans="1:11" x14ac:dyDescent="0.25">
      <c r="C10" s="58" t="s">
        <v>67</v>
      </c>
      <c r="D10" s="58"/>
      <c r="E10" s="53"/>
      <c r="F10" s="53"/>
      <c r="G10" s="53"/>
      <c r="H10" s="53"/>
      <c r="I10" s="54"/>
    </row>
    <row r="11" spans="1:11" x14ac:dyDescent="0.25">
      <c r="C11" s="58" t="s">
        <v>21</v>
      </c>
      <c r="D11" s="58"/>
      <c r="E11" s="53"/>
      <c r="F11" s="53"/>
      <c r="G11" s="53"/>
      <c r="H11" s="53"/>
      <c r="I11" s="54"/>
    </row>
    <row r="12" spans="1:11" x14ac:dyDescent="0.25">
      <c r="E12" s="43"/>
      <c r="F12" s="43"/>
      <c r="G12" s="43"/>
      <c r="H12" s="43"/>
      <c r="I12" s="44"/>
    </row>
    <row r="13" spans="1:11" x14ac:dyDescent="0.25">
      <c r="C13" s="58" t="s">
        <v>22</v>
      </c>
      <c r="D13" s="58"/>
      <c r="E13" s="53"/>
      <c r="F13" s="53"/>
      <c r="G13" s="53"/>
      <c r="H13" s="53"/>
      <c r="I13" s="54"/>
    </row>
    <row r="14" spans="1:11" x14ac:dyDescent="0.25">
      <c r="E14" s="45"/>
      <c r="F14" s="45"/>
      <c r="G14" s="45"/>
      <c r="H14" s="45"/>
      <c r="I14" s="46"/>
    </row>
    <row r="15" spans="1:11" x14ac:dyDescent="0.25"/>
    <row r="16" spans="1:11" x14ac:dyDescent="0.25">
      <c r="C16" s="59" t="s">
        <v>29</v>
      </c>
      <c r="D16" s="59"/>
      <c r="E16" s="51">
        <v>44006</v>
      </c>
      <c r="F16" s="59" t="s">
        <v>30</v>
      </c>
      <c r="G16" s="59"/>
      <c r="H16" s="60">
        <v>43978</v>
      </c>
      <c r="I16" s="53"/>
    </row>
    <row r="17" spans="3:11" x14ac:dyDescent="0.25"/>
    <row r="18" spans="3:11" ht="15.75" thickBot="1" x14ac:dyDescent="0.3">
      <c r="C18" s="16" t="s">
        <v>12</v>
      </c>
      <c r="D18" s="17" t="s">
        <v>31</v>
      </c>
      <c r="E18" s="17" t="s">
        <v>14</v>
      </c>
      <c r="F18" s="18" t="s">
        <v>8</v>
      </c>
      <c r="G18" s="18" t="s">
        <v>32</v>
      </c>
      <c r="H18" s="18" t="s">
        <v>33</v>
      </c>
      <c r="I18" s="18" t="s">
        <v>34</v>
      </c>
    </row>
    <row r="19" spans="3:11" x14ac:dyDescent="0.25">
      <c r="D19" s="19"/>
      <c r="F19" s="1"/>
      <c r="G19" s="1"/>
      <c r="H19" s="20"/>
      <c r="I19" s="21"/>
    </row>
    <row r="20" spans="3:11" x14ac:dyDescent="0.25">
      <c r="D20" s="19"/>
      <c r="F20" s="1"/>
      <c r="G20" s="1"/>
      <c r="H20" s="20"/>
      <c r="I20" s="21"/>
    </row>
    <row r="21" spans="3:11" x14ac:dyDescent="0.25">
      <c r="D21" s="19"/>
      <c r="F21" s="1"/>
      <c r="G21" s="1"/>
      <c r="H21" s="20"/>
      <c r="I21" s="21"/>
    </row>
    <row r="22" spans="3:11" x14ac:dyDescent="0.25">
      <c r="D22" s="19"/>
      <c r="F22" s="1"/>
      <c r="G22" s="1"/>
      <c r="H22" s="20"/>
      <c r="I22" s="21"/>
      <c r="J22" s="22"/>
      <c r="K22" s="23"/>
    </row>
    <row r="23" spans="3:11" x14ac:dyDescent="0.25">
      <c r="D23" s="19"/>
      <c r="F23" s="1"/>
      <c r="G23" s="1"/>
      <c r="H23" s="20"/>
      <c r="I23" s="21"/>
      <c r="J23" s="22"/>
      <c r="K23" s="23"/>
    </row>
    <row r="24" spans="3:11" x14ac:dyDescent="0.25">
      <c r="D24" s="19"/>
      <c r="F24" s="1"/>
      <c r="G24" s="1"/>
      <c r="H24" s="20"/>
      <c r="I24" s="21"/>
    </row>
    <row r="25" spans="3:11" x14ac:dyDescent="0.25">
      <c r="D25" s="19"/>
      <c r="F25" s="1"/>
      <c r="G25" s="1"/>
      <c r="H25" s="20"/>
      <c r="I25" s="21"/>
    </row>
    <row r="26" spans="3:11" x14ac:dyDescent="0.25">
      <c r="D26" s="19"/>
      <c r="F26" s="1"/>
      <c r="G26" s="1"/>
      <c r="H26" s="20"/>
      <c r="I26" s="21"/>
    </row>
    <row r="27" spans="3:11" x14ac:dyDescent="0.25">
      <c r="D27" s="19"/>
      <c r="F27" s="1"/>
      <c r="G27" s="1"/>
      <c r="H27" s="24"/>
      <c r="I27" s="22"/>
    </row>
    <row r="28" spans="3:11" x14ac:dyDescent="0.25">
      <c r="D28" s="19"/>
      <c r="F28" s="1"/>
      <c r="G28" s="1"/>
      <c r="H28" s="24"/>
      <c r="I28" s="22"/>
    </row>
    <row r="29" spans="3:11" x14ac:dyDescent="0.25">
      <c r="D29" s="19"/>
      <c r="F29" s="1"/>
      <c r="G29" s="1"/>
      <c r="H29" s="24"/>
      <c r="I29" s="22"/>
    </row>
    <row r="30" spans="3:11" x14ac:dyDescent="0.25">
      <c r="D30" s="19"/>
      <c r="F30" s="1"/>
      <c r="G30" s="1"/>
      <c r="H30" s="24"/>
      <c r="I30" s="22"/>
    </row>
    <row r="31" spans="3:11" x14ac:dyDescent="0.25">
      <c r="D31" s="19"/>
      <c r="F31" s="1"/>
      <c r="G31" s="1"/>
      <c r="H31" s="24"/>
      <c r="I31" s="22"/>
    </row>
    <row r="32" spans="3:11" x14ac:dyDescent="0.25">
      <c r="D32" s="19"/>
      <c r="F32" s="1"/>
      <c r="G32" s="1"/>
      <c r="H32" s="24"/>
      <c r="I32" s="22"/>
      <c r="J32" s="22"/>
      <c r="K32" s="23"/>
    </row>
    <row r="33" spans="4:11" x14ac:dyDescent="0.25">
      <c r="D33" s="19"/>
      <c r="F33" s="1"/>
      <c r="G33" s="1"/>
      <c r="H33" s="24"/>
      <c r="I33" s="22"/>
      <c r="J33" s="22"/>
      <c r="K33" s="23"/>
    </row>
    <row r="34" spans="4:11" x14ac:dyDescent="0.25">
      <c r="D34" s="19"/>
      <c r="F34" s="1"/>
      <c r="G34" s="1"/>
      <c r="H34" s="24"/>
      <c r="I34" s="22"/>
    </row>
    <row r="35" spans="4:11" x14ac:dyDescent="0.25">
      <c r="F35" s="1"/>
      <c r="G35" s="1"/>
      <c r="H35" s="1"/>
    </row>
    <row r="36" spans="4:11" x14ac:dyDescent="0.25">
      <c r="F36" s="1"/>
      <c r="G36" s="1"/>
      <c r="H36" s="1"/>
    </row>
    <row r="37" spans="4:11" x14ac:dyDescent="0.25">
      <c r="F37" s="1"/>
      <c r="G37" s="1"/>
      <c r="H37" s="1"/>
    </row>
    <row r="38" spans="4:11" x14ac:dyDescent="0.25">
      <c r="F38" s="1"/>
      <c r="G38" s="1"/>
      <c r="H38" s="1"/>
    </row>
    <row r="39" spans="4:11" x14ac:dyDescent="0.25">
      <c r="F39" s="1"/>
      <c r="G39" s="1"/>
      <c r="H39" s="1"/>
    </row>
    <row r="40" spans="4:11" x14ac:dyDescent="0.25">
      <c r="F40" s="1"/>
      <c r="G40" s="1"/>
      <c r="H40" s="1"/>
    </row>
    <row r="41" spans="4:11" x14ac:dyDescent="0.25">
      <c r="F41" s="1"/>
      <c r="G41" s="1"/>
      <c r="H41" s="1"/>
    </row>
    <row r="42" spans="4:11" x14ac:dyDescent="0.25">
      <c r="F42" s="1"/>
      <c r="G42" s="1"/>
      <c r="H42" s="1"/>
    </row>
    <row r="43" spans="4:11" x14ac:dyDescent="0.25"/>
    <row r="44" spans="4:11" x14ac:dyDescent="0.25"/>
    <row r="45" spans="4:11" x14ac:dyDescent="0.25">
      <c r="E45" s="14" t="s">
        <v>35</v>
      </c>
      <c r="F45" s="50"/>
    </row>
    <row r="46" spans="4:11" x14ac:dyDescent="0.25">
      <c r="E46" s="14" t="s">
        <v>36</v>
      </c>
      <c r="F46" s="24"/>
    </row>
    <row r="47" spans="4:11" x14ac:dyDescent="0.25"/>
    <row r="48" spans="4:11" x14ac:dyDescent="0.25"/>
    <row r="49" spans="2:11" x14ac:dyDescent="0.25"/>
    <row r="50" spans="2:11" x14ac:dyDescent="0.25">
      <c r="F50" s="55"/>
      <c r="G50" s="55"/>
      <c r="H50" s="55"/>
      <c r="I50" s="55"/>
    </row>
    <row r="51" spans="2:11" x14ac:dyDescent="0.25"/>
    <row r="52" spans="2:11" x14ac:dyDescent="0.25"/>
    <row r="53" spans="2:11" ht="9" customHeight="1" x14ac:dyDescent="0.25">
      <c r="B53" s="25"/>
      <c r="C53" s="26"/>
      <c r="D53" s="26"/>
      <c r="E53" s="26"/>
      <c r="F53" s="26"/>
      <c r="G53" s="26"/>
      <c r="H53" s="26"/>
      <c r="I53" s="26"/>
      <c r="J53" s="27"/>
    </row>
    <row r="54" spans="2:11" s="7" customFormat="1" ht="8.25" customHeight="1" x14ac:dyDescent="0.25">
      <c r="B54" s="8"/>
      <c r="K54" s="8"/>
    </row>
  </sheetData>
  <mergeCells count="16">
    <mergeCell ref="E13:I13"/>
    <mergeCell ref="F50:I50"/>
    <mergeCell ref="C3:D7"/>
    <mergeCell ref="E3:I3"/>
    <mergeCell ref="E4:I4"/>
    <mergeCell ref="F6:H6"/>
    <mergeCell ref="C16:D16"/>
    <mergeCell ref="F16:G16"/>
    <mergeCell ref="H16:I16"/>
    <mergeCell ref="C9:D9"/>
    <mergeCell ref="C10:D10"/>
    <mergeCell ref="C11:D11"/>
    <mergeCell ref="C13:D13"/>
    <mergeCell ref="E9:I9"/>
    <mergeCell ref="E10:I10"/>
    <mergeCell ref="E11:I11"/>
  </mergeCells>
  <pageMargins left="0.511811024" right="0.511811024" top="0.78740157499999996" bottom="0.78740157499999996" header="0.31496062000000002" footer="0.31496062000000002"/>
  <pageSetup paperSize="9" scale="93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3</vt:i4>
      </vt:variant>
    </vt:vector>
  </HeadingPairs>
  <TitlesOfParts>
    <vt:vector size="9" baseType="lpstr">
      <vt:lpstr>Produtos</vt:lpstr>
      <vt:lpstr>Fornecedor</vt:lpstr>
      <vt:lpstr>Clientes</vt:lpstr>
      <vt:lpstr>Orçamentos Salvos</vt:lpstr>
      <vt:lpstr>LISTAS</vt:lpstr>
      <vt:lpstr>Orçamento Matriz</vt:lpstr>
      <vt:lpstr>_Orçamento</vt:lpstr>
      <vt:lpstr>_Produtos</vt:lpstr>
      <vt:lpstr>LISTAS!Area_de_extracao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Alessandro Trovato</dc:creator>
  <cp:lastModifiedBy>Lucas Vasconcelos Rocha</cp:lastModifiedBy>
  <dcterms:created xsi:type="dcterms:W3CDTF">2015-11-21T17:05:21Z</dcterms:created>
  <dcterms:modified xsi:type="dcterms:W3CDTF">2020-05-27T19:00:32Z</dcterms:modified>
</cp:coreProperties>
</file>